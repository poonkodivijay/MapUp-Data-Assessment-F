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1" hidePivotFieldList="1"/>
  <bookViews>
    <workbookView xWindow="0" yWindow="495" windowWidth="20730" windowHeight="11760" tabRatio="849" activeTab="2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  <sheet name="Sheet1" sheetId="23" r:id="rId8"/>
  </sheets>
  <functionGroups builtInGroupCount="17"/>
  <definedNames>
    <definedName name="_xlnm._FilterDatabase" localSheetId="1" hidden="1">Dataset!$G$1:$G$40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35" i="20"/>
  <c r="C34" i="20"/>
  <c r="C33" i="20"/>
  <c r="C32" i="20"/>
  <c r="C31" i="20"/>
  <c r="C30" i="20"/>
  <c r="C29" i="20"/>
  <c r="C27" i="20"/>
  <c r="C26" i="20"/>
  <c r="C25" i="20"/>
  <c r="C24" i="20"/>
  <c r="C28" i="20"/>
  <c r="C23" i="20"/>
  <c r="Z4" i="1"/>
</calcChain>
</file>

<file path=xl/sharedStrings.xml><?xml version="1.0" encoding="utf-8"?>
<sst xmlns="http://schemas.openxmlformats.org/spreadsheetml/2006/main" count="497" uniqueCount="188">
  <si>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</si>
  <si>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</si>
  <si>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</si>
  <si>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</si>
  <si>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</si>
  <si>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</si>
  <si>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</si>
  <si>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</si>
  <si>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</si>
  <si>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</si>
  <si>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</si>
  <si>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</si>
  <si>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</si>
  <si>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</si>
  <si>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</si>
  <si>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</si>
  <si>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</si>
  <si>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</si>
  <si>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</si>
  <si>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</si>
  <si>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</si>
  <si>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</si>
  <si>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</si>
  <si>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</si>
  <si>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</si>
  <si>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</si>
  <si>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</si>
  <si>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</si>
  <si>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</si>
  <si>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</si>
  <si>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</si>
  <si>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</si>
  <si>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</si>
  <si>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</si>
  <si>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</si>
  <si>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</si>
  <si>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</si>
  <si>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</si>
  <si>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</si>
  <si>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</si>
  <si>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</si>
  <si>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</si>
  <si>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</si>
  <si>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</si>
  <si>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</si>
  <si>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</si>
  <si>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</si>
  <si>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</si>
  <si>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</si>
  <si>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</si>
  <si>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</si>
  <si>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</si>
  <si>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</si>
  <si>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</si>
  <si>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</si>
  <si>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</si>
  <si>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</si>
  <si>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</si>
  <si>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</si>
  <si>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</si>
  <si>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</si>
  <si>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</si>
  <si>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</si>
  <si>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</si>
  <si>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</si>
  <si>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</si>
  <si>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</si>
  <si>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</si>
  <si>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</si>
  <si>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</si>
  <si>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</si>
  <si>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</si>
  <si>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</si>
  <si>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</si>
  <si>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</si>
  <si>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</si>
  <si>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</si>
  <si>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</si>
  <si>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</si>
  <si>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</si>
  <si>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</si>
  <si>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</si>
  <si>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</si>
  <si>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</si>
  <si>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</si>
  <si>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</si>
  <si>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</si>
  <si>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</si>
  <si>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</si>
  <si>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</si>
  <si>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</si>
  <si>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</si>
  <si>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</si>
  <si>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</si>
  <si>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</si>
  <si>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</si>
  <si>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</si>
  <si>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</si>
  <si>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</si>
  <si>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</si>
  <si>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</si>
  <si>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</si>
  <si>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</si>
  <si>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</si>
  <si>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</si>
  <si>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</si>
  <si>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</si>
  <si>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</si>
  <si>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</si>
  <si>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</si>
  <si>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</si>
  <si>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</si>
  <si>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</si>
  <si>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</si>
  <si>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</si>
  <si>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</si>
  <si>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</si>
  <si>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</si>
  <si>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</si>
  <si>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</si>
  <si>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</si>
  <si>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</si>
  <si>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</si>
  <si>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</si>
  <si>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</si>
  <si>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</si>
  <si>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</si>
  <si>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</si>
  <si>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</si>
  <si>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</si>
  <si>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</si>
  <si>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</si>
  <si>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</si>
  <si>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</si>
  <si>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</si>
  <si>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</si>
  <si>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</si>
  <si>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</si>
  <si>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</si>
  <si>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</si>
  <si>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</si>
  <si>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</si>
  <si>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</si>
  <si>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</si>
  <si>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</si>
  <si>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</si>
  <si>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</si>
  <si>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</si>
  <si>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</si>
  <si>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</si>
  <si>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</si>
  <si>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</si>
  <si>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</si>
  <si>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</si>
  <si>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</si>
  <si>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</si>
  <si>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</si>
  <si>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</si>
  <si>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</si>
  <si>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</si>
  <si>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</si>
  <si>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</si>
  <si>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</si>
  <si>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</si>
  <si>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</si>
  <si>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</si>
  <si>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</si>
  <si>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</si>
  <si>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</si>
  <si>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</si>
  <si>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</si>
  <si>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</si>
  <si>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</si>
  <si>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</si>
  <si>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</si>
  <si>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</si>
  <si>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</si>
  <si>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 of all values greater than '20' in column H labelled 'car2'</t>
  </si>
  <si>
    <t>SUMIF(H2:H40,"&gt;20")</t>
  </si>
  <si>
    <t>Done</t>
  </si>
  <si>
    <t>Freezed top row using freeze panes option from view tab</t>
  </si>
  <si>
    <t xml:space="preserve">Used sum and if error function.. If error function helps to find the any error terms and those gets replaced by assigned values </t>
  </si>
  <si>
    <t>After filling the N/A cells with 20 then all the cells gets added up using SUM function</t>
  </si>
  <si>
    <t>Used Index formula inorder to extract the intersection values of respective rows and columns.</t>
  </si>
  <si>
    <t>SUM(IF(ISNA(C11:C21), 20, C11:C21</t>
  </si>
  <si>
    <t>Used Vlookup formula</t>
  </si>
  <si>
    <t>Used functionatily called text to columns from data tab</t>
  </si>
  <si>
    <t>Changed X labelled dates in format in to 'YYY-MM-DD' using calendar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</si>
</sst>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71" formatCode="yyyy/mm/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A742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</cellStyleXfs>
  <cellXfs count="56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7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9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0" fontId="8" fillId="0" borderId="1" xfId="0" applyFont="1" applyBorder="1" applyAlignment="1">
      <alignment vertical="center"/>
    </xf>
    <xf numFmtId="0" fontId="9" fillId="0" borderId="2" xfId="0" applyFont="1" applyBorder="1"/>
    <xf numFmtId="0" fontId="10" fillId="0" borderId="7" xfId="0" applyFont="1" applyBorder="1"/>
    <xf numFmtId="0" fontId="9" fillId="0" borderId="5" xfId="0" applyFont="1" applyBorder="1"/>
    <xf numFmtId="0" fontId="9" fillId="0" borderId="7" xfId="0" applyFont="1" applyBorder="1"/>
    <xf numFmtId="0" fontId="14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4" fillId="0" borderId="0" xfId="0" applyFont="1"/>
    <xf numFmtId="0" fontId="4" fillId="7" borderId="0" xfId="0" applyFont="1" applyFill="1"/>
    <xf numFmtId="0" fontId="4" fillId="0" borderId="0" xfId="0" applyFont="1" applyBorder="1"/>
    <xf numFmtId="0" fontId="4" fillId="8" borderId="0" xfId="0" applyFont="1" applyFill="1"/>
    <xf numFmtId="171" fontId="8" fillId="9" borderId="0" xfId="0" applyNumberFormat="1" applyFont="1" applyFill="1"/>
    <xf numFmtId="171" fontId="4" fillId="9" borderId="0" xfId="0" applyNumberFormat="1" applyFont="1" applyFill="1"/>
    <xf numFmtId="0" fontId="18" fillId="0" borderId="0" xfId="1" applyFont="1"/>
    <xf numFmtId="0" fontId="19" fillId="0" borderId="0" xfId="0" applyFont="1"/>
    <xf numFmtId="165" fontId="1" fillId="0" borderId="1" xfId="0" applyNumberFormat="1" applyFont="1" applyBorder="1"/>
    <xf numFmtId="0" fontId="1" fillId="0" borderId="1" xfId="0" applyFont="1" applyBorder="1"/>
    <xf numFmtId="0" fontId="20" fillId="0" borderId="0" xfId="0" applyFont="1"/>
    <xf numFmtId="0" fontId="15" fillId="6" borderId="0" xfId="0" applyFont="1" applyFill="1"/>
    <xf numFmtId="0" fontId="15" fillId="10" borderId="0" xfId="0" applyFont="1" applyFill="1"/>
    <xf numFmtId="0" fontId="4" fillId="10" borderId="0" xfId="0" applyFont="1" applyFill="1"/>
    <xf numFmtId="0" fontId="9" fillId="6" borderId="0" xfId="0" applyFont="1" applyFill="1"/>
    <xf numFmtId="0" fontId="4" fillId="11" borderId="0" xfId="0" applyFont="1" applyFill="1"/>
    <xf numFmtId="0" fontId="9" fillId="11" borderId="0" xfId="0" applyFont="1" applyFill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colors>
    <mruColors>
      <color rgb="FFFA742A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C25" sqref="C25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5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2" t="s">
        <v>171</v>
      </c>
      <c r="B9" s="24" t="s">
        <v>169</v>
      </c>
    </row>
    <row r="10" spans="1:3" x14ac:dyDescent="0.2">
      <c r="A10" s="31" t="s">
        <v>172</v>
      </c>
      <c r="B10" s="33">
        <v>25</v>
      </c>
    </row>
    <row r="11" spans="1:3" x14ac:dyDescent="0.2">
      <c r="A11" s="31" t="s">
        <v>55</v>
      </c>
      <c r="B11" s="33">
        <v>30</v>
      </c>
    </row>
    <row r="12" spans="1:3" x14ac:dyDescent="0.2">
      <c r="A12" s="31" t="s">
        <v>56</v>
      </c>
      <c r="B12" s="33">
        <v>10</v>
      </c>
    </row>
    <row r="13" spans="1:3" x14ac:dyDescent="0.2">
      <c r="A13" s="31" t="s">
        <v>85</v>
      </c>
      <c r="B13" s="33">
        <v>20</v>
      </c>
    </row>
    <row r="14" spans="1:3" x14ac:dyDescent="0.2">
      <c r="A14" s="31" t="s">
        <v>98</v>
      </c>
      <c r="B14" s="33">
        <v>40</v>
      </c>
    </row>
    <row r="15" spans="1:3" x14ac:dyDescent="0.2">
      <c r="A15" s="34" t="s">
        <v>170</v>
      </c>
      <c r="B15" s="23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0"/>
  <sheetViews>
    <sheetView topLeftCell="K1" zoomScaleNormal="100" workbookViewId="0">
      <selection sqref="A1:V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2" customWidth="1"/>
    <col min="5" max="5" width="9.1640625" style="1" bestFit="1" customWidth="1"/>
    <col min="6" max="6" width="10.33203125" style="22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4" bestFit="1" customWidth="1"/>
    <col min="25" max="16384" width="9" style="1"/>
  </cols>
  <sheetData>
    <row r="1" spans="1:26" s="3" customFormat="1" ht="14.85" customHeight="1" x14ac:dyDescent="0.2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3" t="s">
        <v>105</v>
      </c>
    </row>
    <row r="2" spans="1:26" x14ac:dyDescent="0.2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6" x14ac:dyDescent="0.2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  <c r="Z3" s="1" t="s">
        <v>177</v>
      </c>
    </row>
    <row r="4" spans="1:26" x14ac:dyDescent="0.2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  <c r="Z4" s="42">
        <f>SUMIF(H2:H40,"&gt;20")</f>
        <v>1473.0000000000002</v>
      </c>
    </row>
    <row r="5" spans="1:26" x14ac:dyDescent="0.2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6" x14ac:dyDescent="0.2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6" x14ac:dyDescent="0.2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6" x14ac:dyDescent="0.2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6" x14ac:dyDescent="0.2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6" x14ac:dyDescent="0.2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6" x14ac:dyDescent="0.2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6" x14ac:dyDescent="0.2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40">
        <v>0</v>
      </c>
      <c r="H12" s="40">
        <v>0</v>
      </c>
      <c r="I12" s="40">
        <v>0</v>
      </c>
      <c r="J12" s="40">
        <v>0</v>
      </c>
      <c r="K12" s="40">
        <v>0</v>
      </c>
      <c r="L12" s="40">
        <v>0</v>
      </c>
      <c r="M12" s="40">
        <v>0</v>
      </c>
      <c r="N12" s="40">
        <v>0</v>
      </c>
      <c r="O12" s="40">
        <v>0</v>
      </c>
      <c r="P12" s="40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4">
        <v>45116</v>
      </c>
    </row>
    <row r="13" spans="1:26" x14ac:dyDescent="0.2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6" x14ac:dyDescent="0.2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6" x14ac:dyDescent="0.2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6" x14ac:dyDescent="0.2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40">
        <v>0</v>
      </c>
      <c r="H26" s="40">
        <v>0</v>
      </c>
      <c r="I26" s="40">
        <v>0</v>
      </c>
      <c r="J26" s="40">
        <v>0</v>
      </c>
      <c r="K26" s="40">
        <v>0</v>
      </c>
      <c r="L26" s="40">
        <v>0</v>
      </c>
      <c r="M26" s="40">
        <v>0</v>
      </c>
      <c r="N26" s="40">
        <v>0</v>
      </c>
      <c r="O26" s="40">
        <v>0</v>
      </c>
      <c r="P26" s="40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4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autoFilter ref="G1:G40"/>
  <conditionalFormatting sqref="A1:A1048576">
    <cfRule type="duplicateValues" dxfId="1" priority="5"/>
  </conditionalFormatting>
  <conditionalFormatting sqref="B1:B1048576">
    <cfRule type="duplicateValues" dxfId="0" priority="4"/>
  </conditionalFormatting>
  <conditionalFormatting sqref="G1:W1048576">
    <cfRule type="dataBar" priority="3">
      <dataBar>
        <cfvo type="num" val="-1"/>
        <cfvo type="num" val="0"/>
        <color rgb="FFFF5050"/>
      </dataBar>
      <extLst>
        <ext xmlns:x14="http://schemas.microsoft.com/office/spreadsheetml/2009/9/main" uri="{B025F937-C7B1-47D3-B67F-A62EFF666E3E}">
          <x14:id>{9AB13553-814C-4607-A717-CD05149AD4F2}</x14:id>
        </ext>
      </extLst>
    </cfRule>
  </conditionalFormatting>
  <conditionalFormatting sqref="U6">
    <cfRule type="colorScale" priority="1">
      <colorScale>
        <cfvo type="formula" val="$G$1:$W$40=0"/>
        <cfvo type="max"/>
        <color rgb="FF00B0F0"/>
        <color rgb="FFFFEF9C"/>
      </colorScale>
    </cfRule>
    <cfRule type="colorScale" priority="2">
      <colorScale>
        <cfvo type="formula" val="$G$1:$W$40=-1"/>
        <cfvo type="max"/>
        <color rgb="FFFF7128"/>
        <color rgb="FFFFEF9C"/>
      </colorScale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B13553-814C-4607-A717-CD05149AD4F2}">
            <x14:dataBar minLength="0" maxLength="100" border="1" gradient="0">
              <x14:cfvo type="num">
                <xm:f>-1</xm:f>
              </x14:cfvo>
              <x14:cfvo type="num">
                <xm:f>0</xm:f>
              </x14:cfvo>
              <x14:borderColor rgb="FF000000"/>
              <x14:negativeFillColor rgb="FFFF0000"/>
              <x14:axisColor rgb="FF000000"/>
            </x14:dataBar>
          </x14:cfRule>
          <xm:sqref>G1:W1048576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tabSelected="1" zoomScaleNormal="100" workbookViewId="0">
      <selection activeCell="C12" sqref="C12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6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6" x14ac:dyDescent="0.25">
      <c r="A2" s="2"/>
      <c r="B2" s="5" t="s">
        <v>160</v>
      </c>
      <c r="C2" s="2"/>
    </row>
    <row r="3" spans="1:6" x14ac:dyDescent="0.25">
      <c r="A3" s="6">
        <v>1</v>
      </c>
      <c r="B3" s="2" t="s">
        <v>107</v>
      </c>
      <c r="C3" s="2" t="s">
        <v>45</v>
      </c>
      <c r="E3" s="1">
        <v>5</v>
      </c>
      <c r="F3" s="1" t="s">
        <v>179</v>
      </c>
    </row>
    <row r="4" spans="1:6" x14ac:dyDescent="0.25">
      <c r="A4" s="6">
        <v>2</v>
      </c>
      <c r="B4" s="2" t="s">
        <v>46</v>
      </c>
      <c r="C4" s="2"/>
      <c r="E4" s="1">
        <v>5</v>
      </c>
      <c r="F4" s="1" t="s">
        <v>180</v>
      </c>
    </row>
    <row r="5" spans="1:6" x14ac:dyDescent="0.25">
      <c r="A5" s="6">
        <v>3</v>
      </c>
      <c r="B5" s="2" t="s">
        <v>104</v>
      </c>
      <c r="C5" s="53" t="s">
        <v>178</v>
      </c>
      <c r="E5" s="1">
        <v>10</v>
      </c>
    </row>
    <row r="6" spans="1:6" x14ac:dyDescent="0.25">
      <c r="A6" s="6">
        <v>4</v>
      </c>
      <c r="B6" s="2" t="s">
        <v>106</v>
      </c>
      <c r="C6" s="2"/>
      <c r="E6" s="1">
        <v>5</v>
      </c>
      <c r="F6" s="1" t="s">
        <v>187</v>
      </c>
    </row>
    <row r="7" spans="1:6" x14ac:dyDescent="0.25">
      <c r="A7" s="2"/>
      <c r="B7" s="2"/>
      <c r="C7" s="2"/>
    </row>
    <row r="13" spans="1:6" x14ac:dyDescent="0.25">
      <c r="E13" s="2"/>
    </row>
    <row r="14" spans="1:6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D2" sqref="D2"/>
    </sheetView>
  </sheetViews>
  <sheetFormatPr defaultColWidth="11" defaultRowHeight="12.75" x14ac:dyDescent="0.2"/>
  <cols>
    <col min="1" max="1" width="18.6640625" style="2" bestFit="1" customWidth="1"/>
    <col min="2" max="2" width="30" style="2" customWidth="1"/>
    <col min="3" max="6" width="15.33203125" style="2" customWidth="1"/>
    <col min="7" max="7" width="11" style="2"/>
    <col min="8" max="8" width="32.6640625" style="2" customWidth="1"/>
    <col min="9" max="16384" width="11" style="2"/>
  </cols>
  <sheetData>
    <row r="1" spans="1:7" s="37" customFormat="1" ht="21" x14ac:dyDescent="0.35">
      <c r="A1" s="38" t="s">
        <v>55</v>
      </c>
      <c r="B1" s="37" t="s">
        <v>164</v>
      </c>
    </row>
    <row r="2" spans="1:7" s="37" customFormat="1" ht="21" x14ac:dyDescent="0.35">
      <c r="B2" s="37" t="s">
        <v>161</v>
      </c>
    </row>
    <row r="3" spans="1:7" ht="18.75" x14ac:dyDescent="0.3">
      <c r="A3" s="1"/>
      <c r="B3" s="50" t="s">
        <v>185</v>
      </c>
      <c r="C3" s="1"/>
      <c r="D3" s="1"/>
      <c r="E3" s="1"/>
      <c r="F3" s="1"/>
      <c r="G3" s="1"/>
    </row>
    <row r="4" spans="1:7" ht="23.25" x14ac:dyDescent="0.35">
      <c r="A4" s="16" t="s">
        <v>162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5">
      <c r="A6" s="7" t="s">
        <v>40</v>
      </c>
      <c r="B6" s="10">
        <f>VLOOKUP(Task_2!A6,Dataset!A1:X40,7,FALSE)</f>
        <v>2.7</v>
      </c>
      <c r="C6" s="10">
        <f>VLOOKUP(Task_2!A6,Dataset!$A$1:$W$40,14,FALSE)</f>
        <v>7.6</v>
      </c>
      <c r="D6" s="10">
        <f>VLOOKUP(Task_2!A6,Dataset!$A$1:$W$40,18,FALSE)</f>
        <v>4.2</v>
      </c>
      <c r="E6" s="10">
        <f>VLOOKUP(Task_2!A6,Dataset!$A$1:$W$40,20,FALSE)</f>
        <v>8.9</v>
      </c>
      <c r="F6" s="10">
        <f>VLOOKUP(Task_2!A6,Dataset!$A$1:$W$40,22,FALSE)</f>
        <v>4.2</v>
      </c>
    </row>
    <row r="7" spans="1:7" ht="15" x14ac:dyDescent="0.25">
      <c r="A7" s="7" t="s">
        <v>4</v>
      </c>
      <c r="B7" s="10">
        <f>VLOOKUP(Task_2!A7,Dataset!A2:X41,7,FALSE)</f>
        <v>2.7</v>
      </c>
      <c r="C7" s="10">
        <f>VLOOKUP(Task_2!A7,Dataset!$A$1:$W$40,14,FALSE)</f>
        <v>7.6</v>
      </c>
      <c r="D7" s="10">
        <f>VLOOKUP(Task_2!A7,Dataset!$A$1:$W$40,18,FALSE)</f>
        <v>4.2</v>
      </c>
      <c r="E7" s="10">
        <f>VLOOKUP(Task_2!A7,Dataset!$A$1:$W$40,20,FALSE)</f>
        <v>8.9</v>
      </c>
      <c r="F7" s="10">
        <f>VLOOKUP(Task_2!A7,Dataset!$A$1:$W$40,22,FALSE)</f>
        <v>4.2</v>
      </c>
    </row>
    <row r="8" spans="1:7" ht="15" x14ac:dyDescent="0.25">
      <c r="A8" s="7" t="s">
        <v>7</v>
      </c>
      <c r="B8" s="10">
        <f>VLOOKUP(Task_2!A8,Dataset!A3:X42,7,FALSE)</f>
        <v>3.6</v>
      </c>
      <c r="C8" s="10">
        <f>VLOOKUP(Task_2!A8,Dataset!$A$1:$W$40,14,FALSE)</f>
        <v>11.1</v>
      </c>
      <c r="D8" s="10">
        <f>VLOOKUP(Task_2!A8,Dataset!$A$1:$W$40,18,FALSE)</f>
        <v>5.8</v>
      </c>
      <c r="E8" s="10">
        <f>VLOOKUP(Task_2!A8,Dataset!$A$1:$W$40,20,FALSE)</f>
        <v>12.2</v>
      </c>
      <c r="F8" s="10">
        <f>VLOOKUP(Task_2!A8,Dataset!$A$1:$W$40,22,FALSE)</f>
        <v>5.8</v>
      </c>
    </row>
    <row r="9" spans="1:7" ht="15" x14ac:dyDescent="0.25">
      <c r="A9" s="7" t="s">
        <v>8</v>
      </c>
      <c r="B9" s="10">
        <f>VLOOKUP(Task_2!A9,Dataset!A4:X43,7,FALSE)</f>
        <v>4.9000000000000004</v>
      </c>
      <c r="C9" s="10">
        <f>VLOOKUP(Task_2!A9,Dataset!$A$1:$W$40,14,FALSE)</f>
        <v>13.3</v>
      </c>
      <c r="D9" s="10">
        <f>VLOOKUP(Task_2!A9,Dataset!$A$1:$W$40,18,FALSE)</f>
        <v>8.1</v>
      </c>
      <c r="E9" s="10">
        <f>VLOOKUP(Task_2!A9,Dataset!$A$1:$W$40,20,FALSE)</f>
        <v>17</v>
      </c>
      <c r="F9" s="10">
        <f>VLOOKUP(Task_2!A9,Dataset!$A$1:$W$40,22,FALSE)</f>
        <v>8.1</v>
      </c>
    </row>
    <row r="10" spans="1:7" ht="15" x14ac:dyDescent="0.25">
      <c r="A10" s="7" t="s">
        <v>11</v>
      </c>
      <c r="B10" s="10">
        <f>VLOOKUP(Task_2!A10,Dataset!A5:X44,7,FALSE)</f>
        <v>9.4</v>
      </c>
      <c r="C10" s="10">
        <f>VLOOKUP(Task_2!A10,Dataset!$A$1:$W$40,14,FALSE)</f>
        <v>28.3</v>
      </c>
      <c r="D10" s="10">
        <f>VLOOKUP(Task_2!A10,Dataset!$A$1:$W$40,18,FALSE)</f>
        <v>16.100000000000001</v>
      </c>
      <c r="E10" s="10">
        <f>VLOOKUP(Task_2!A10,Dataset!$A$1:$W$40,20,FALSE)</f>
        <v>32.799999999999997</v>
      </c>
      <c r="F10" s="10">
        <f>VLOOKUP(Task_2!A10,Dataset!$A$1:$W$40,22,FALSE)</f>
        <v>16.100000000000001</v>
      </c>
    </row>
    <row r="11" spans="1:7" ht="15" x14ac:dyDescent="0.25">
      <c r="A11" s="7" t="s">
        <v>12</v>
      </c>
      <c r="B11" s="10">
        <f>VLOOKUP(Task_2!A11,Dataset!A6:X45,7,FALSE)</f>
        <v>11.6</v>
      </c>
      <c r="C11" s="10">
        <f>VLOOKUP(Task_2!A11,Dataset!$A$1:$W$40,14,FALSE)</f>
        <v>35.200000000000003</v>
      </c>
      <c r="D11" s="10">
        <f>VLOOKUP(Task_2!A11,Dataset!$A$1:$W$40,18,FALSE)</f>
        <v>21.3</v>
      </c>
      <c r="E11" s="10">
        <f>VLOOKUP(Task_2!A11,Dataset!$A$1:$W$40,20,FALSE)</f>
        <v>43</v>
      </c>
      <c r="F11" s="10">
        <f>VLOOKUP(Task_2!A11,Dataset!$A$1:$W$40,22,FALSE)</f>
        <v>21.3</v>
      </c>
    </row>
    <row r="12" spans="1:7" ht="15" x14ac:dyDescent="0.25">
      <c r="A12" s="7" t="s">
        <v>14</v>
      </c>
      <c r="B12" s="10">
        <f>VLOOKUP(Task_2!A12,Dataset!A7:X46,7,FALSE)</f>
        <v>18.399999999999999</v>
      </c>
      <c r="C12" s="10">
        <f>VLOOKUP(Task_2!A12,Dataset!$A$1:$W$40,14,FALSE)</f>
        <v>55.6</v>
      </c>
      <c r="D12" s="10">
        <f>VLOOKUP(Task_2!A12,Dataset!$A$1:$W$40,18,FALSE)</f>
        <v>33.799999999999997</v>
      </c>
      <c r="E12" s="10">
        <f>VLOOKUP(Task_2!A12,Dataset!$A$1:$W$40,20,FALSE)</f>
        <v>67.900000000000006</v>
      </c>
      <c r="F12" s="10">
        <f>VLOOKUP(Task_2!A12,Dataset!$A$1:$W$40,22,FALSE)</f>
        <v>33.799999999999997</v>
      </c>
    </row>
    <row r="13" spans="1:7" ht="15" x14ac:dyDescent="0.25">
      <c r="A13" s="7" t="s">
        <v>15</v>
      </c>
      <c r="B13" s="10">
        <f>VLOOKUP(Task_2!A13,Dataset!A8:X47,7,FALSE)</f>
        <v>0</v>
      </c>
      <c r="C13" s="10">
        <f>VLOOKUP(Task_2!A13,Dataset!$A$1:$W$40,14,FALSE)</f>
        <v>0</v>
      </c>
      <c r="D13" s="10">
        <f>VLOOKUP(Task_2!A13,Dataset!$A$1:$W$40,18,FALSE)</f>
        <v>0</v>
      </c>
      <c r="E13" s="10">
        <f>VLOOKUP(Task_2!A13,Dataset!$A$1:$W$40,20,FALSE)</f>
        <v>0</v>
      </c>
      <c r="F13" s="10">
        <f>VLOOKUP(Task_2!A13,Dataset!$A$1:$W$40,22,FALSE)</f>
        <v>0</v>
      </c>
    </row>
    <row r="14" spans="1:7" ht="15" x14ac:dyDescent="0.25">
      <c r="A14" s="7" t="s">
        <v>16</v>
      </c>
      <c r="B14" s="10">
        <f>VLOOKUP(Task_2!A14,Dataset!A9:X48,7,FALSE)</f>
        <v>21.9</v>
      </c>
      <c r="C14" s="10">
        <f>VLOOKUP(Task_2!A14,Dataset!$A$1:$W$40,14,FALSE)</f>
        <v>61.5</v>
      </c>
      <c r="D14" s="10">
        <f>VLOOKUP(Task_2!A14,Dataset!$A$1:$W$40,18,FALSE)</f>
        <v>40.1</v>
      </c>
      <c r="E14" s="10">
        <f>VLOOKUP(Task_2!A14,Dataset!$A$1:$W$40,20,FALSE)</f>
        <v>76.599999999999994</v>
      </c>
      <c r="F14" s="10">
        <f>VLOOKUP(Task_2!A14,Dataset!$A$1:$W$40,22,FALSE)</f>
        <v>40.1</v>
      </c>
    </row>
    <row r="15" spans="1:7" ht="15" x14ac:dyDescent="0.25">
      <c r="A15" s="7" t="s">
        <v>18</v>
      </c>
      <c r="B15" s="10">
        <f>VLOOKUP(Task_2!A15,Dataset!A10:X49,7,FALSE)</f>
        <v>26.8</v>
      </c>
      <c r="C15" s="10">
        <f>VLOOKUP(Task_2!A15,Dataset!$A$1:$W$40,14,FALSE)</f>
        <v>79.599999999999994</v>
      </c>
      <c r="D15" s="10">
        <f>VLOOKUP(Task_2!A15,Dataset!$A$1:$W$40,18,FALSE)</f>
        <v>47.9</v>
      </c>
      <c r="E15" s="10">
        <f>VLOOKUP(Task_2!A15,Dataset!$A$1:$W$40,20,FALSE)</f>
        <v>96.8</v>
      </c>
      <c r="F15" s="10">
        <f>VLOOKUP(Task_2!A15,Dataset!$A$1:$W$40,22,FALSE)</f>
        <v>47.9</v>
      </c>
    </row>
    <row r="16" spans="1:7" ht="15" x14ac:dyDescent="0.25">
      <c r="A16" s="7" t="s">
        <v>20</v>
      </c>
      <c r="B16" s="10">
        <f>VLOOKUP(Task_2!A16,Dataset!A11:X50,7,FALSE)</f>
        <v>28.5</v>
      </c>
      <c r="C16" s="10">
        <f>VLOOKUP(Task_2!A16,Dataset!$A$1:$W$40,14,FALSE)</f>
        <v>85.4</v>
      </c>
      <c r="D16" s="10">
        <f>VLOOKUP(Task_2!A16,Dataset!$A$1:$W$40,18,FALSE)</f>
        <v>52.3</v>
      </c>
      <c r="E16" s="10">
        <f>VLOOKUP(Task_2!A16,Dataset!$A$1:$W$40,20,FALSE)</f>
        <v>106.1</v>
      </c>
      <c r="F16" s="10">
        <f>VLOOKUP(Task_2!A16,Dataset!$A$1:$W$40,22,FALSE)</f>
        <v>52.3</v>
      </c>
    </row>
    <row r="17" spans="1:6" ht="15" x14ac:dyDescent="0.25">
      <c r="A17" s="7" t="s">
        <v>22</v>
      </c>
      <c r="B17" s="10">
        <f>VLOOKUP(Task_2!A17,Dataset!A12:X51,7,FALSE)</f>
        <v>30.7</v>
      </c>
      <c r="C17" s="10">
        <f>VLOOKUP(Task_2!A17,Dataset!$A$1:$W$40,14,FALSE)</f>
        <v>92.1</v>
      </c>
      <c r="D17" s="10">
        <f>VLOOKUP(Task_2!A17,Dataset!$A$1:$W$40,18,FALSE)</f>
        <v>57</v>
      </c>
      <c r="E17" s="10">
        <f>VLOOKUP(Task_2!A17,Dataset!$A$1:$W$40,20,FALSE)</f>
        <v>115.1</v>
      </c>
      <c r="F17" s="10">
        <f>VLOOKUP(Task_2!A17,Dataset!$A$1:$W$40,22,FALSE)</f>
        <v>57</v>
      </c>
    </row>
    <row r="18" spans="1:6" ht="15" x14ac:dyDescent="0.25">
      <c r="A18" s="7" t="s">
        <v>23</v>
      </c>
      <c r="B18" s="10">
        <f>VLOOKUP(Task_2!A18,Dataset!A13:X52,7,FALSE)</f>
        <v>33.799999999999997</v>
      </c>
      <c r="C18" s="10">
        <f>VLOOKUP(Task_2!A18,Dataset!$A$1:$W$40,14,FALSE)</f>
        <v>101.3</v>
      </c>
      <c r="D18" s="10">
        <f>VLOOKUP(Task_2!A18,Dataset!$A$1:$W$40,18,FALSE)</f>
        <v>61.4</v>
      </c>
      <c r="E18" s="10">
        <f>VLOOKUP(Task_2!A18,Dataset!$A$1:$W$40,20,FALSE)</f>
        <v>124.4</v>
      </c>
      <c r="F18" s="10">
        <f>VLOOKUP(Task_2!A18,Dataset!$A$1:$W$40,22,FALSE)</f>
        <v>61.4</v>
      </c>
    </row>
    <row r="19" spans="1:6" ht="15" x14ac:dyDescent="0.25">
      <c r="A19" s="7" t="s">
        <v>24</v>
      </c>
      <c r="B19" s="10">
        <f>VLOOKUP(Task_2!A19,Dataset!A14:X53,7,FALSE)</f>
        <v>34.700000000000003</v>
      </c>
      <c r="C19" s="10">
        <f>VLOOKUP(Task_2!A19,Dataset!$A$1:$W$40,14,FALSE)</f>
        <v>106.1</v>
      </c>
      <c r="D19" s="10">
        <f>VLOOKUP(Task_2!A19,Dataset!$A$1:$W$40,18,FALSE)</f>
        <v>63.6</v>
      </c>
      <c r="E19" s="10">
        <f>VLOOKUP(Task_2!A19,Dataset!$A$1:$W$40,20,FALSE)</f>
        <v>128.6</v>
      </c>
      <c r="F19" s="10">
        <f>VLOOKUP(Task_2!A19,Dataset!$A$1:$W$40,22,FALSE)</f>
        <v>63.6</v>
      </c>
    </row>
    <row r="20" spans="1:6" ht="15" x14ac:dyDescent="0.25">
      <c r="A20" s="7" t="s">
        <v>28</v>
      </c>
      <c r="B20" s="10">
        <f>VLOOKUP(Task_2!A20,Dataset!A15:X54,7,FALSE)</f>
        <v>0</v>
      </c>
      <c r="C20" s="10">
        <f>VLOOKUP(Task_2!A20,Dataset!$A$1:$W$40,14,FALSE)</f>
        <v>0</v>
      </c>
      <c r="D20" s="10">
        <f>VLOOKUP(Task_2!A20,Dataset!$A$1:$W$40,18,FALSE)</f>
        <v>0</v>
      </c>
      <c r="E20" s="10">
        <f>VLOOKUP(Task_2!A20,Dataset!$A$1:$W$40,20,FALSE)</f>
        <v>0</v>
      </c>
      <c r="F20" s="10">
        <f>VLOOKUP(Task_2!A20,Dataset!$A$1:$W$40,22,FALSE)</f>
        <v>0</v>
      </c>
    </row>
    <row r="21" spans="1:6" ht="15" x14ac:dyDescent="0.25">
      <c r="A21" s="7" t="s">
        <v>57</v>
      </c>
      <c r="B21" s="10">
        <f>VLOOKUP(Task_2!A21,Dataset!A16:X55,7,FALSE)</f>
        <v>41.3</v>
      </c>
      <c r="C21" s="10">
        <f>VLOOKUP(Task_2!A21,Dataset!$A$1:$W$40,14,FALSE)</f>
        <v>124.4</v>
      </c>
      <c r="D21" s="10">
        <f>VLOOKUP(Task_2!A21,Dataset!$A$1:$W$40,18,FALSE)</f>
        <v>75</v>
      </c>
      <c r="E21" s="10">
        <f>VLOOKUP(Task_2!A21,Dataset!$A$1:$W$40,20,FALSE)</f>
        <v>151.5</v>
      </c>
      <c r="F21" s="10">
        <f>VLOOKUP(Task_2!A21,Dataset!$A$1:$W$40,22,FALSE)</f>
        <v>75</v>
      </c>
    </row>
    <row r="22" spans="1:6" ht="15" x14ac:dyDescent="0.25">
      <c r="A22" s="7" t="s">
        <v>58</v>
      </c>
      <c r="B22" s="10">
        <f>VLOOKUP(Task_2!A22,Dataset!A17:X56,7,FALSE)</f>
        <v>-1</v>
      </c>
      <c r="C22" s="10">
        <f>VLOOKUP(Task_2!A22,Dataset!$A$1:$W$40,14,FALSE)</f>
        <v>-1</v>
      </c>
      <c r="D22" s="10">
        <f>VLOOKUP(Task_2!A22,Dataset!$A$1:$W$40,18,FALSE)</f>
        <v>-1</v>
      </c>
      <c r="E22" s="10">
        <f>VLOOKUP(Task_2!A22,Dataset!$A$1:$W$40,20,FALSE)</f>
        <v>-1</v>
      </c>
      <c r="F22" s="10">
        <f>VLOOKUP(Task_2!A22,Dataset!$A$1:$W$40,22,FALSE)</f>
        <v>-1</v>
      </c>
    </row>
    <row r="23" spans="1:6" ht="15" x14ac:dyDescent="0.25">
      <c r="A23" s="7" t="s">
        <v>31</v>
      </c>
      <c r="B23" s="10">
        <f>VLOOKUP(Task_2!A23,Dataset!A18:X57,7,FALSE)</f>
        <v>45</v>
      </c>
      <c r="C23" s="10">
        <f>VLOOKUP(Task_2!A23,Dataset!$A$1:$W$40,14,FALSE)</f>
        <v>133.4</v>
      </c>
      <c r="D23" s="10">
        <f>VLOOKUP(Task_2!A23,Dataset!$A$1:$W$40,18,FALSE)</f>
        <v>79.400000000000006</v>
      </c>
      <c r="E23" s="10">
        <f>VLOOKUP(Task_2!A23,Dataset!$A$1:$W$40,20,FALSE)</f>
        <v>160.9</v>
      </c>
      <c r="F23" s="10">
        <f>VLOOKUP(Task_2!A23,Dataset!$A$1:$W$40,22,FALSE)</f>
        <v>79.400000000000006</v>
      </c>
    </row>
    <row r="24" spans="1:6" ht="15" x14ac:dyDescent="0.25">
      <c r="A24" s="7" t="s">
        <v>32</v>
      </c>
      <c r="B24" s="10">
        <f>VLOOKUP(Task_2!A24,Dataset!A19:X58,7,FALSE)</f>
        <v>-1</v>
      </c>
      <c r="C24" s="10">
        <f>VLOOKUP(Task_2!A24,Dataset!$A$1:$W$40,14,FALSE)</f>
        <v>-1</v>
      </c>
      <c r="D24" s="10">
        <f>VLOOKUP(Task_2!A24,Dataset!$A$1:$W$40,18,FALSE)</f>
        <v>-1</v>
      </c>
      <c r="E24" s="10">
        <f>VLOOKUP(Task_2!A24,Dataset!$A$1:$W$40,20,FALSE)</f>
        <v>-1</v>
      </c>
      <c r="F24" s="10">
        <f>VLOOKUP(Task_2!A24,Dataset!$A$1:$W$40,22,FALSE)</f>
        <v>-1</v>
      </c>
    </row>
    <row r="25" spans="1:6" ht="15" x14ac:dyDescent="0.25">
      <c r="A25" s="7" t="s">
        <v>34</v>
      </c>
      <c r="B25" s="10">
        <f>VLOOKUP(Task_2!A25,Dataset!A20:X59,7,FALSE)</f>
        <v>43.3</v>
      </c>
      <c r="C25" s="10">
        <f>VLOOKUP(Task_2!A25,Dataset!$A$1:$W$40,14,FALSE)</f>
        <v>128.6</v>
      </c>
      <c r="D25" s="10">
        <f>VLOOKUP(Task_2!A25,Dataset!$A$1:$W$40,18,FALSE)</f>
        <v>79.400000000000006</v>
      </c>
      <c r="E25" s="10">
        <f>VLOOKUP(Task_2!A25,Dataset!$A$1:$W$40,20,FALSE)</f>
        <v>160.9</v>
      </c>
      <c r="F25" s="10">
        <f>VLOOKUP(Task_2!A25,Dataset!$A$1:$W$40,22,FALSE)</f>
        <v>79.400000000000006</v>
      </c>
    </row>
    <row r="26" spans="1:6" ht="15" x14ac:dyDescent="0.25">
      <c r="A26" s="7" t="s">
        <v>37</v>
      </c>
      <c r="B26" s="10">
        <f>VLOOKUP(Task_2!A26,Dataset!A21:X60,7,FALSE)</f>
        <v>49.1</v>
      </c>
      <c r="C26" s="10">
        <f>VLOOKUP(Task_2!A26,Dataset!$A$1:$W$40,14,FALSE)</f>
        <v>146.80000000000001</v>
      </c>
      <c r="D26" s="10">
        <f>VLOOKUP(Task_2!A26,Dataset!$A$1:$W$40,18,FALSE)</f>
        <v>90.9</v>
      </c>
      <c r="E26" s="10">
        <f>VLOOKUP(Task_2!A26,Dataset!$A$1:$W$40,20,FALSE)</f>
        <v>183.5</v>
      </c>
      <c r="F26" s="10">
        <f>VLOOKUP(Task_2!A26,Dataset!$A$1:$W$40,22,FALSE)</f>
        <v>90.9</v>
      </c>
    </row>
    <row r="27" spans="1:6" ht="15" x14ac:dyDescent="0.25">
      <c r="A27" s="7" t="s">
        <v>39</v>
      </c>
      <c r="B27" s="10">
        <f>VLOOKUP(Task_2!A27,Dataset!A22:X61,7,FALSE)</f>
        <v>51.8</v>
      </c>
      <c r="C27" s="10">
        <f>VLOOKUP(Task_2!A27,Dataset!$A$1:$W$40,14,FALSE)</f>
        <v>156.4</v>
      </c>
      <c r="D27" s="10">
        <f>VLOOKUP(Task_2!A27,Dataset!$A$1:$W$40,18,FALSE)</f>
        <v>93.1</v>
      </c>
      <c r="E27" s="10">
        <f>VLOOKUP(Task_2!A27,Dataset!$A$1:$W$40,20,FALSE)</f>
        <v>188.1</v>
      </c>
      <c r="F27" s="10">
        <f>VLOOKUP(Task_2!A27,Dataset!$A$1:$W$40,22,FALSE)</f>
        <v>93.1</v>
      </c>
    </row>
    <row r="28" spans="1:6" ht="15" x14ac:dyDescent="0.25">
      <c r="A28" s="17" t="s">
        <v>82</v>
      </c>
      <c r="B28" s="29">
        <f>MIN(B6:B27)</f>
        <v>-1</v>
      </c>
      <c r="C28" s="29">
        <f>MIN(C6:C27)</f>
        <v>-1</v>
      </c>
      <c r="D28" s="29">
        <f>MIN(D6:D27)</f>
        <v>-1</v>
      </c>
      <c r="E28" s="29">
        <f>MIN(E6:E27)</f>
        <v>-1</v>
      </c>
      <c r="F28" s="29">
        <f>MIN(F6:F27)</f>
        <v>-1</v>
      </c>
    </row>
    <row r="29" spans="1:6" ht="15" x14ac:dyDescent="0.25">
      <c r="A29" s="17" t="s">
        <v>83</v>
      </c>
      <c r="B29" s="29">
        <f>MAX(B6:B27)</f>
        <v>51.8</v>
      </c>
      <c r="C29" s="29">
        <f>MAX(C6:C27)</f>
        <v>156.4</v>
      </c>
      <c r="D29" s="29">
        <f>MAX(D6:D27)</f>
        <v>93.1</v>
      </c>
      <c r="E29" s="29">
        <f>MAX(E6:E27)</f>
        <v>188.1</v>
      </c>
      <c r="F29" s="29">
        <f>MAX(F6:F27)</f>
        <v>93.1</v>
      </c>
    </row>
    <row r="30" spans="1:6" ht="15" x14ac:dyDescent="0.25">
      <c r="A30" s="17" t="s">
        <v>84</v>
      </c>
      <c r="B30" s="29">
        <f>AVERAGE(B6:B27)</f>
        <v>20.827272727272728</v>
      </c>
      <c r="C30" s="29">
        <f>AVERAGE(C6:C27)</f>
        <v>62.377272727272725</v>
      </c>
      <c r="D30" s="29">
        <f>AVERAGE(D6:D27)</f>
        <v>37.800000000000004</v>
      </c>
      <c r="E30" s="29">
        <f>AVERAGE(E6:E27)</f>
        <v>76.418181818181822</v>
      </c>
      <c r="F30" s="29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G8" sqref="G8"/>
    </sheetView>
  </sheetViews>
  <sheetFormatPr defaultColWidth="11" defaultRowHeight="15" x14ac:dyDescent="0.25"/>
  <cols>
    <col min="1" max="1" width="39.83203125" style="1" bestFit="1" customWidth="1"/>
    <col min="2" max="2" width="27.83203125" style="1" customWidth="1"/>
    <col min="3" max="16384" width="11" style="1"/>
  </cols>
  <sheetData>
    <row r="1" spans="1:10" s="37" customFormat="1" ht="21" x14ac:dyDescent="0.35">
      <c r="A1" s="38" t="s">
        <v>56</v>
      </c>
      <c r="B1" s="37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39" t="s">
        <v>53</v>
      </c>
      <c r="B5" s="51" t="s">
        <v>186</v>
      </c>
      <c r="C5" s="52"/>
      <c r="D5" s="52"/>
      <c r="E5" s="52"/>
      <c r="F5" s="52"/>
    </row>
    <row r="6" spans="1:10" ht="18.75" x14ac:dyDescent="0.3">
      <c r="A6" s="39" t="s">
        <v>153</v>
      </c>
      <c r="B6" s="36"/>
    </row>
    <row r="7" spans="1:10" ht="18.75" x14ac:dyDescent="0.3">
      <c r="A7" s="39"/>
      <c r="B7" s="36"/>
    </row>
    <row r="9" spans="1:10" ht="23.25" x14ac:dyDescent="0.35">
      <c r="A9" s="16" t="s">
        <v>165</v>
      </c>
      <c r="I9" s="2"/>
      <c r="J9" s="2"/>
    </row>
    <row r="10" spans="1:10" x14ac:dyDescent="0.25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35">
      <c r="A14" s="16" t="s">
        <v>162</v>
      </c>
    </row>
    <row r="15" spans="1:10" x14ac:dyDescent="0.2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25">
      <c r="A16" s="7" t="s">
        <v>121</v>
      </c>
      <c r="B16">
        <v>20000</v>
      </c>
      <c r="C16" t="s">
        <v>5</v>
      </c>
      <c r="D16">
        <v>0</v>
      </c>
      <c r="E16" t="s">
        <v>6</v>
      </c>
      <c r="F16">
        <v>24</v>
      </c>
    </row>
    <row r="17" spans="1:6" x14ac:dyDescent="0.25">
      <c r="A17" s="7" t="s">
        <v>122</v>
      </c>
      <c r="B17">
        <v>20002</v>
      </c>
      <c r="C17" t="s">
        <v>5</v>
      </c>
      <c r="D17">
        <v>0</v>
      </c>
      <c r="E17" t="s">
        <v>6</v>
      </c>
      <c r="F17">
        <v>24</v>
      </c>
    </row>
    <row r="18" spans="1:6" x14ac:dyDescent="0.25">
      <c r="A18" s="7" t="s">
        <v>123</v>
      </c>
      <c r="B18">
        <v>20004</v>
      </c>
      <c r="C18" t="s">
        <v>5</v>
      </c>
      <c r="D18">
        <v>0</v>
      </c>
      <c r="E18" t="s">
        <v>6</v>
      </c>
      <c r="F18">
        <v>24</v>
      </c>
    </row>
    <row r="19" spans="1:6" x14ac:dyDescent="0.25">
      <c r="A19" s="7" t="s">
        <v>124</v>
      </c>
      <c r="B19">
        <v>20006</v>
      </c>
      <c r="C19" t="s">
        <v>5</v>
      </c>
      <c r="D19">
        <v>0</v>
      </c>
      <c r="E19" t="s">
        <v>6</v>
      </c>
      <c r="F19">
        <v>24</v>
      </c>
    </row>
    <row r="20" spans="1:6" x14ac:dyDescent="0.25">
      <c r="A20" s="7" t="s">
        <v>125</v>
      </c>
      <c r="B20" s="7">
        <v>20008</v>
      </c>
      <c r="C20" s="41" t="s">
        <v>5</v>
      </c>
      <c r="D20">
        <v>0</v>
      </c>
      <c r="E20" t="s">
        <v>6</v>
      </c>
      <c r="F20">
        <v>24</v>
      </c>
    </row>
    <row r="21" spans="1:6" x14ac:dyDescent="0.25">
      <c r="A21" s="7" t="s">
        <v>126</v>
      </c>
      <c r="B21" s="7">
        <v>20010</v>
      </c>
      <c r="C21" s="41" t="s">
        <v>5</v>
      </c>
      <c r="D21">
        <v>0</v>
      </c>
      <c r="E21" t="s">
        <v>6</v>
      </c>
      <c r="F21">
        <v>24</v>
      </c>
    </row>
    <row r="22" spans="1:6" x14ac:dyDescent="0.25">
      <c r="A22" s="7" t="s">
        <v>127</v>
      </c>
      <c r="B22" s="7">
        <v>20012</v>
      </c>
      <c r="C22" s="41" t="s">
        <v>5</v>
      </c>
      <c r="D22">
        <v>0</v>
      </c>
      <c r="E22" t="s">
        <v>6</v>
      </c>
      <c r="F22">
        <v>24</v>
      </c>
    </row>
    <row r="23" spans="1:6" x14ac:dyDescent="0.25">
      <c r="A23" s="7" t="s">
        <v>128</v>
      </c>
      <c r="B23" s="7">
        <v>20014</v>
      </c>
      <c r="C23" s="41" t="s">
        <v>5</v>
      </c>
      <c r="D23">
        <v>0</v>
      </c>
      <c r="E23" t="s">
        <v>6</v>
      </c>
      <c r="F23">
        <v>24</v>
      </c>
    </row>
    <row r="24" spans="1:6" x14ac:dyDescent="0.25">
      <c r="A24" s="7" t="s">
        <v>129</v>
      </c>
      <c r="B24" s="7">
        <v>20016</v>
      </c>
      <c r="C24" s="41" t="s">
        <v>5</v>
      </c>
      <c r="D24">
        <v>0</v>
      </c>
      <c r="E24" t="s">
        <v>6</v>
      </c>
      <c r="F24">
        <v>24</v>
      </c>
    </row>
    <row r="25" spans="1:6" x14ac:dyDescent="0.25">
      <c r="A25" s="7" t="s">
        <v>130</v>
      </c>
      <c r="B25" s="7">
        <v>20018</v>
      </c>
      <c r="C25" s="41" t="s">
        <v>5</v>
      </c>
      <c r="D25">
        <v>0</v>
      </c>
      <c r="E25" t="s">
        <v>6</v>
      </c>
      <c r="F25">
        <v>24</v>
      </c>
    </row>
    <row r="26" spans="1:6" x14ac:dyDescent="0.25">
      <c r="A26" s="7" t="s">
        <v>131</v>
      </c>
      <c r="B26" s="7">
        <v>20020</v>
      </c>
      <c r="C26" s="41" t="s">
        <v>5</v>
      </c>
      <c r="D26">
        <v>0</v>
      </c>
      <c r="E26" t="s">
        <v>6</v>
      </c>
      <c r="F26">
        <v>24</v>
      </c>
    </row>
    <row r="27" spans="1:6" x14ac:dyDescent="0.25">
      <c r="A27" s="7" t="s">
        <v>132</v>
      </c>
      <c r="B27" s="7">
        <v>20022</v>
      </c>
      <c r="C27" s="41" t="s">
        <v>5</v>
      </c>
      <c r="D27">
        <v>0</v>
      </c>
      <c r="E27" t="s">
        <v>6</v>
      </c>
      <c r="F27">
        <v>24</v>
      </c>
    </row>
    <row r="28" spans="1:6" x14ac:dyDescent="0.25">
      <c r="A28" s="7" t="s">
        <v>133</v>
      </c>
      <c r="B28" s="7">
        <v>20024</v>
      </c>
      <c r="C28" s="41" t="s">
        <v>5</v>
      </c>
      <c r="D28">
        <v>0</v>
      </c>
      <c r="E28" t="s">
        <v>6</v>
      </c>
      <c r="F28">
        <v>24</v>
      </c>
    </row>
    <row r="29" spans="1:6" x14ac:dyDescent="0.25">
      <c r="A29" s="7" t="s">
        <v>134</v>
      </c>
      <c r="B29" s="7">
        <v>20026</v>
      </c>
      <c r="C29" s="41" t="s">
        <v>5</v>
      </c>
      <c r="D29">
        <v>0</v>
      </c>
      <c r="E29" t="s">
        <v>6</v>
      </c>
      <c r="F29">
        <v>24</v>
      </c>
    </row>
    <row r="30" spans="1:6" x14ac:dyDescent="0.25">
      <c r="A30" s="7" t="s">
        <v>135</v>
      </c>
      <c r="B30" s="7">
        <v>20028</v>
      </c>
      <c r="C30" s="41" t="s">
        <v>5</v>
      </c>
      <c r="D30">
        <v>0</v>
      </c>
      <c r="E30" t="s">
        <v>6</v>
      </c>
      <c r="F30">
        <v>24</v>
      </c>
    </row>
    <row r="31" spans="1:6" x14ac:dyDescent="0.25">
      <c r="A31" s="7" t="s">
        <v>136</v>
      </c>
      <c r="B31" s="7">
        <v>20030</v>
      </c>
      <c r="C31" s="41" t="s">
        <v>5</v>
      </c>
      <c r="D31">
        <v>0</v>
      </c>
      <c r="E31" t="s">
        <v>6</v>
      </c>
      <c r="F31">
        <v>24</v>
      </c>
    </row>
    <row r="32" spans="1:6" x14ac:dyDescent="0.25">
      <c r="A32" s="7" t="s">
        <v>137</v>
      </c>
      <c r="B32" s="7">
        <v>20032</v>
      </c>
      <c r="C32" s="41" t="s">
        <v>5</v>
      </c>
      <c r="D32">
        <v>0</v>
      </c>
      <c r="E32" t="s">
        <v>6</v>
      </c>
      <c r="F32">
        <v>24</v>
      </c>
    </row>
    <row r="33" spans="1:6" x14ac:dyDescent="0.25">
      <c r="A33" s="7" t="s">
        <v>138</v>
      </c>
      <c r="B33" s="7">
        <v>20034</v>
      </c>
      <c r="C33" s="41" t="s">
        <v>5</v>
      </c>
      <c r="D33">
        <v>0</v>
      </c>
      <c r="E33" t="s">
        <v>6</v>
      </c>
      <c r="F33">
        <v>24</v>
      </c>
    </row>
    <row r="34" spans="1:6" x14ac:dyDescent="0.25">
      <c r="A34" s="7" t="s">
        <v>139</v>
      </c>
      <c r="B34" s="7">
        <v>20036</v>
      </c>
      <c r="C34" s="41" t="s">
        <v>5</v>
      </c>
      <c r="D34">
        <v>0</v>
      </c>
      <c r="E34" t="s">
        <v>6</v>
      </c>
      <c r="F34">
        <v>24</v>
      </c>
    </row>
    <row r="35" spans="1:6" x14ac:dyDescent="0.25">
      <c r="A35" s="7" t="s">
        <v>140</v>
      </c>
      <c r="B35" s="7">
        <v>20038</v>
      </c>
      <c r="C35" s="41" t="s">
        <v>5</v>
      </c>
      <c r="D35">
        <v>0</v>
      </c>
      <c r="E35" t="s">
        <v>6</v>
      </c>
      <c r="F35">
        <v>24</v>
      </c>
    </row>
    <row r="36" spans="1:6" x14ac:dyDescent="0.25">
      <c r="A36" s="7" t="s">
        <v>141</v>
      </c>
      <c r="B36" s="7">
        <v>20040</v>
      </c>
      <c r="C36" s="41" t="s">
        <v>5</v>
      </c>
      <c r="D36">
        <v>0</v>
      </c>
      <c r="E36" t="s">
        <v>6</v>
      </c>
      <c r="F36">
        <v>24</v>
      </c>
    </row>
    <row r="37" spans="1:6" x14ac:dyDescent="0.25">
      <c r="A37" s="7" t="s">
        <v>142</v>
      </c>
      <c r="B37" s="7">
        <v>20042</v>
      </c>
      <c r="C37" s="41" t="s">
        <v>5</v>
      </c>
      <c r="D37">
        <v>0</v>
      </c>
      <c r="E37" t="s">
        <v>6</v>
      </c>
      <c r="F37">
        <v>24</v>
      </c>
    </row>
    <row r="38" spans="1:6" x14ac:dyDescent="0.25">
      <c r="A38" s="7" t="s">
        <v>143</v>
      </c>
      <c r="B38" s="7">
        <v>20044</v>
      </c>
      <c r="C38" s="41" t="s">
        <v>5</v>
      </c>
      <c r="D38">
        <v>0</v>
      </c>
      <c r="E38" t="s">
        <v>6</v>
      </c>
      <c r="F38">
        <v>24</v>
      </c>
    </row>
    <row r="39" spans="1:6" x14ac:dyDescent="0.25">
      <c r="A39" s="7" t="s">
        <v>144</v>
      </c>
      <c r="B39" s="7">
        <v>20046</v>
      </c>
      <c r="C39" s="41" t="s">
        <v>5</v>
      </c>
      <c r="D39">
        <v>0</v>
      </c>
      <c r="E39" t="s">
        <v>6</v>
      </c>
      <c r="F39">
        <v>24</v>
      </c>
    </row>
    <row r="40" spans="1:6" x14ac:dyDescent="0.25">
      <c r="A40" s="7" t="s">
        <v>145</v>
      </c>
      <c r="B40" s="7">
        <v>20048</v>
      </c>
      <c r="C40" s="41" t="s">
        <v>5</v>
      </c>
      <c r="D40">
        <v>0</v>
      </c>
      <c r="E40" t="s">
        <v>6</v>
      </c>
      <c r="F40">
        <v>24</v>
      </c>
    </row>
    <row r="41" spans="1:6" x14ac:dyDescent="0.25">
      <c r="A41" s="7" t="s">
        <v>146</v>
      </c>
      <c r="B41" s="7">
        <v>20050</v>
      </c>
      <c r="C41" s="41" t="s">
        <v>5</v>
      </c>
      <c r="D41">
        <v>0</v>
      </c>
      <c r="E41" t="s">
        <v>6</v>
      </c>
      <c r="F41">
        <v>24</v>
      </c>
    </row>
    <row r="42" spans="1:6" x14ac:dyDescent="0.25">
      <c r="A42" s="7" t="s">
        <v>147</v>
      </c>
      <c r="B42" s="7">
        <v>20052</v>
      </c>
      <c r="C42" s="41" t="s">
        <v>5</v>
      </c>
      <c r="D42">
        <v>0</v>
      </c>
      <c r="E42" t="s">
        <v>6</v>
      </c>
      <c r="F42">
        <v>24</v>
      </c>
    </row>
    <row r="43" spans="1:6" x14ac:dyDescent="0.25">
      <c r="A43" s="7" t="s">
        <v>148</v>
      </c>
      <c r="B43" s="7">
        <v>20054</v>
      </c>
      <c r="C43" s="41" t="s">
        <v>5</v>
      </c>
      <c r="D43">
        <v>0</v>
      </c>
      <c r="E43" t="s">
        <v>6</v>
      </c>
      <c r="F43">
        <v>24</v>
      </c>
    </row>
    <row r="44" spans="1:6" x14ac:dyDescent="0.25">
      <c r="A44" s="7" t="s">
        <v>149</v>
      </c>
      <c r="B44" s="7">
        <v>20058</v>
      </c>
      <c r="C44" s="41" t="s">
        <v>5</v>
      </c>
      <c r="D44">
        <v>0</v>
      </c>
      <c r="E44" t="s">
        <v>6</v>
      </c>
      <c r="F44">
        <v>24</v>
      </c>
    </row>
    <row r="45" spans="1:6" x14ac:dyDescent="0.25">
      <c r="A45" s="7" t="s">
        <v>150</v>
      </c>
      <c r="B45" s="7">
        <v>20060</v>
      </c>
      <c r="C45" s="41" t="s">
        <v>5</v>
      </c>
      <c r="D45">
        <v>0</v>
      </c>
      <c r="E45" t="s">
        <v>6</v>
      </c>
      <c r="F45">
        <v>24</v>
      </c>
    </row>
    <row r="46" spans="1:6" x14ac:dyDescent="0.25">
      <c r="A46" s="7" t="s">
        <v>112</v>
      </c>
      <c r="B46" s="7">
        <v>21000</v>
      </c>
      <c r="C46" s="41" t="s">
        <v>5</v>
      </c>
      <c r="D46">
        <v>0</v>
      </c>
      <c r="E46" t="s">
        <v>6</v>
      </c>
      <c r="F46">
        <v>24</v>
      </c>
    </row>
    <row r="47" spans="1:6" x14ac:dyDescent="0.25">
      <c r="A47" s="7" t="s">
        <v>113</v>
      </c>
      <c r="B47" s="7">
        <v>21002</v>
      </c>
      <c r="C47" s="41" t="s">
        <v>5</v>
      </c>
      <c r="D47">
        <v>0</v>
      </c>
      <c r="E47" t="s">
        <v>6</v>
      </c>
      <c r="F47">
        <v>24</v>
      </c>
    </row>
    <row r="48" spans="1:6" x14ac:dyDescent="0.25">
      <c r="A48" s="7" t="s">
        <v>114</v>
      </c>
      <c r="B48" s="7">
        <v>21004</v>
      </c>
      <c r="C48" s="41" t="s">
        <v>5</v>
      </c>
      <c r="D48">
        <v>0</v>
      </c>
      <c r="E48" t="s">
        <v>6</v>
      </c>
      <c r="F48">
        <v>24</v>
      </c>
    </row>
    <row r="49" spans="1:6" x14ac:dyDescent="0.25">
      <c r="A49" s="7" t="s">
        <v>115</v>
      </c>
      <c r="B49" s="7">
        <v>21006</v>
      </c>
      <c r="C49" s="41" t="s">
        <v>5</v>
      </c>
      <c r="D49">
        <v>0</v>
      </c>
      <c r="E49" t="s">
        <v>6</v>
      </c>
      <c r="F49">
        <v>24</v>
      </c>
    </row>
    <row r="50" spans="1:6" x14ac:dyDescent="0.25">
      <c r="A50" s="7" t="s">
        <v>116</v>
      </c>
      <c r="B50" s="7">
        <v>21008</v>
      </c>
      <c r="C50" s="41" t="s">
        <v>5</v>
      </c>
      <c r="D50">
        <v>0</v>
      </c>
      <c r="E50" t="s">
        <v>6</v>
      </c>
      <c r="F50">
        <v>24</v>
      </c>
    </row>
    <row r="51" spans="1:6" x14ac:dyDescent="0.25">
      <c r="A51" s="7" t="s">
        <v>117</v>
      </c>
      <c r="B51" s="7">
        <v>21010</v>
      </c>
      <c r="C51" s="41" t="s">
        <v>5</v>
      </c>
      <c r="D51">
        <v>0</v>
      </c>
      <c r="E51" t="s">
        <v>6</v>
      </c>
      <c r="F51">
        <v>24</v>
      </c>
    </row>
    <row r="52" spans="1:6" x14ac:dyDescent="0.25">
      <c r="A52" s="7" t="s">
        <v>118</v>
      </c>
      <c r="B52" s="7">
        <v>21012</v>
      </c>
      <c r="C52" s="41" t="s">
        <v>5</v>
      </c>
      <c r="D52">
        <v>0</v>
      </c>
      <c r="E52" t="s">
        <v>6</v>
      </c>
      <c r="F52">
        <v>24</v>
      </c>
    </row>
    <row r="53" spans="1:6" x14ac:dyDescent="0.25">
      <c r="A53" s="7" t="s">
        <v>119</v>
      </c>
      <c r="B53" s="7">
        <v>21014</v>
      </c>
      <c r="C53" s="41" t="s">
        <v>5</v>
      </c>
      <c r="D53">
        <v>0</v>
      </c>
      <c r="E53" t="s">
        <v>6</v>
      </c>
      <c r="F53">
        <v>24</v>
      </c>
    </row>
    <row r="54" spans="1:6" x14ac:dyDescent="0.25">
      <c r="A54" s="8" t="s">
        <v>120</v>
      </c>
      <c r="B54" s="7">
        <v>21016</v>
      </c>
      <c r="C54" s="41" t="s">
        <v>5</v>
      </c>
      <c r="D54">
        <v>0</v>
      </c>
      <c r="E54" t="s">
        <v>6</v>
      </c>
      <c r="F54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topLeftCell="A4" zoomScaleNormal="100" workbookViewId="0">
      <selection activeCell="F17" sqref="F17"/>
    </sheetView>
  </sheetViews>
  <sheetFormatPr defaultColWidth="11" defaultRowHeight="12.75" x14ac:dyDescent="0.2"/>
  <cols>
    <col min="1" max="1" width="28.1640625" style="2" bestFit="1" customWidth="1"/>
    <col min="2" max="2" width="42" style="2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8" ht="21" x14ac:dyDescent="0.35">
      <c r="A1" s="38" t="s">
        <v>85</v>
      </c>
      <c r="B1" s="37" t="s">
        <v>167</v>
      </c>
    </row>
    <row r="2" spans="1:8" ht="18.75" x14ac:dyDescent="0.3">
      <c r="B2" s="36" t="s">
        <v>166</v>
      </c>
    </row>
    <row r="5" spans="1:8" ht="15" x14ac:dyDescent="0.25">
      <c r="B5" s="1" t="s">
        <v>151</v>
      </c>
    </row>
    <row r="6" spans="1:8" ht="15" x14ac:dyDescent="0.25">
      <c r="A6" s="3" t="s">
        <v>53</v>
      </c>
      <c r="B6" s="1"/>
    </row>
    <row r="7" spans="1:8" ht="15" x14ac:dyDescent="0.25">
      <c r="A7" s="3" t="s">
        <v>153</v>
      </c>
      <c r="B7" s="1" t="s">
        <v>181</v>
      </c>
    </row>
    <row r="8" spans="1:8" x14ac:dyDescent="0.2">
      <c r="B8" s="2" t="s">
        <v>182</v>
      </c>
    </row>
    <row r="9" spans="1:8" x14ac:dyDescent="0.2">
      <c r="B9" s="53" t="s">
        <v>184</v>
      </c>
    </row>
    <row r="10" spans="1:8" ht="23.25" x14ac:dyDescent="0.35">
      <c r="A10" s="45" t="s">
        <v>162</v>
      </c>
      <c r="B10" s="46"/>
      <c r="C10" s="46"/>
    </row>
    <row r="11" spans="1:8" ht="15" x14ac:dyDescent="0.25">
      <c r="A11" s="47" t="s">
        <v>86</v>
      </c>
      <c r="B11" s="48" t="s">
        <v>87</v>
      </c>
      <c r="C11" s="48" t="s">
        <v>88</v>
      </c>
      <c r="H11" s="48"/>
    </row>
    <row r="12" spans="1:8" ht="15" x14ac:dyDescent="0.25">
      <c r="A12" s="47">
        <v>44927</v>
      </c>
      <c r="B12" s="48" t="s">
        <v>59</v>
      </c>
      <c r="C12" s="48">
        <v>200</v>
      </c>
    </row>
    <row r="13" spans="1:8" ht="15" x14ac:dyDescent="0.25">
      <c r="A13" s="47">
        <v>44928</v>
      </c>
      <c r="B13" s="48" t="s">
        <v>60</v>
      </c>
      <c r="C13" s="48" t="e">
        <v>#N/A</v>
      </c>
    </row>
    <row r="14" spans="1:8" ht="15" x14ac:dyDescent="0.25">
      <c r="A14" s="47">
        <v>44929</v>
      </c>
      <c r="B14" s="48" t="s">
        <v>61</v>
      </c>
      <c r="C14" s="48">
        <v>50</v>
      </c>
    </row>
    <row r="15" spans="1:8" ht="15" x14ac:dyDescent="0.25">
      <c r="A15" s="47">
        <v>44930</v>
      </c>
      <c r="B15" s="48" t="s">
        <v>62</v>
      </c>
      <c r="C15" s="48" t="e">
        <v>#N/A</v>
      </c>
    </row>
    <row r="16" spans="1:8" ht="15" x14ac:dyDescent="0.25">
      <c r="A16" s="47">
        <v>44931</v>
      </c>
      <c r="B16" s="48" t="s">
        <v>63</v>
      </c>
      <c r="C16" s="48">
        <v>10</v>
      </c>
    </row>
    <row r="17" spans="1:3" ht="15" x14ac:dyDescent="0.25">
      <c r="A17" s="47">
        <v>44932</v>
      </c>
      <c r="B17" s="48" t="s">
        <v>154</v>
      </c>
      <c r="C17" s="48">
        <v>150</v>
      </c>
    </row>
    <row r="18" spans="1:3" ht="15" x14ac:dyDescent="0.25">
      <c r="A18" s="47">
        <v>44933</v>
      </c>
      <c r="B18" s="48" t="s">
        <v>155</v>
      </c>
      <c r="C18" s="48">
        <v>80</v>
      </c>
    </row>
    <row r="19" spans="1:3" ht="15" x14ac:dyDescent="0.25">
      <c r="A19" s="47">
        <v>44934</v>
      </c>
      <c r="B19" s="48" t="s">
        <v>156</v>
      </c>
      <c r="C19" s="48" t="e">
        <v>#N/A</v>
      </c>
    </row>
    <row r="20" spans="1:3" ht="15" x14ac:dyDescent="0.25">
      <c r="A20" s="47">
        <v>44935</v>
      </c>
      <c r="B20" s="48" t="s">
        <v>157</v>
      </c>
      <c r="C20" s="48">
        <v>30</v>
      </c>
    </row>
    <row r="21" spans="1:3" ht="15" x14ac:dyDescent="0.25">
      <c r="A21" s="47">
        <v>44936</v>
      </c>
      <c r="B21" s="48" t="s">
        <v>158</v>
      </c>
      <c r="C21" s="48" t="e">
        <v>#N/A</v>
      </c>
    </row>
    <row r="22" spans="1:3" ht="15" x14ac:dyDescent="0.25">
      <c r="A22" s="46"/>
      <c r="B22" s="48" t="s">
        <v>159</v>
      </c>
      <c r="C22" s="49">
        <f t="array" ref="C22">SUM(IF(ISNA(C11:C21), 20, C11:C21))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5"/>
  <sheetViews>
    <sheetView topLeftCell="A13" zoomScaleNormal="100" workbookViewId="0">
      <selection activeCell="I7" sqref="I7"/>
    </sheetView>
  </sheetViews>
  <sheetFormatPr defaultColWidth="11" defaultRowHeight="12.75" x14ac:dyDescent="0.2"/>
  <cols>
    <col min="1" max="1" width="28.1640625" style="2" bestFit="1" customWidth="1"/>
    <col min="2" max="2" width="30.83203125" style="2" customWidth="1"/>
    <col min="3" max="16384" width="11" style="2"/>
  </cols>
  <sheetData>
    <row r="1" spans="1:15" ht="21" x14ac:dyDescent="0.35">
      <c r="A1" s="38" t="s">
        <v>98</v>
      </c>
      <c r="B1" s="37" t="s">
        <v>175</v>
      </c>
    </row>
    <row r="3" spans="1:15" ht="15" x14ac:dyDescent="0.25">
      <c r="B3" s="1" t="s">
        <v>151</v>
      </c>
    </row>
    <row r="4" spans="1:15" ht="18.75" x14ac:dyDescent="0.3">
      <c r="A4" s="39" t="s">
        <v>53</v>
      </c>
      <c r="B4" s="1"/>
    </row>
    <row r="5" spans="1:15" ht="18.75" x14ac:dyDescent="0.3">
      <c r="A5" s="39" t="s">
        <v>153</v>
      </c>
      <c r="B5" s="54" t="s">
        <v>183</v>
      </c>
      <c r="C5" s="55"/>
      <c r="D5" s="55"/>
      <c r="E5" s="55"/>
      <c r="F5" s="55"/>
      <c r="G5" s="55"/>
      <c r="H5" s="55"/>
    </row>
    <row r="6" spans="1:15" ht="15" x14ac:dyDescent="0.25">
      <c r="A6" s="3"/>
      <c r="B6" s="1"/>
    </row>
    <row r="8" spans="1:15" ht="23.25" x14ac:dyDescent="0.35">
      <c r="A8" s="16" t="s">
        <v>162</v>
      </c>
      <c r="M8" s="16" t="s">
        <v>163</v>
      </c>
    </row>
    <row r="9" spans="1:15" ht="15" x14ac:dyDescent="0.2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5" ht="15" x14ac:dyDescent="0.2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  <c r="O10" s="2">
        <v>2</v>
      </c>
    </row>
    <row r="11" spans="1:15" ht="15" x14ac:dyDescent="0.2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  <c r="O11" s="2">
        <v>3</v>
      </c>
    </row>
    <row r="12" spans="1:15" ht="15" x14ac:dyDescent="0.2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  <c r="O12" s="2">
        <v>4</v>
      </c>
    </row>
    <row r="13" spans="1:15" ht="15" x14ac:dyDescent="0.2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  <c r="O13" s="2">
        <v>5</v>
      </c>
    </row>
    <row r="14" spans="1:15" ht="15" x14ac:dyDescent="0.2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  <c r="O14" s="2">
        <v>6</v>
      </c>
    </row>
    <row r="15" spans="1:15" ht="15" x14ac:dyDescent="0.2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  <c r="O15" s="2">
        <v>7</v>
      </c>
    </row>
    <row r="16" spans="1:15" ht="15" x14ac:dyDescent="0.2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  <c r="O16" s="2">
        <v>8</v>
      </c>
    </row>
    <row r="17" spans="1:15" ht="15" x14ac:dyDescent="0.2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  <c r="O17" s="2">
        <v>9</v>
      </c>
    </row>
    <row r="18" spans="1:15" ht="15" x14ac:dyDescent="0.2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  <c r="O18" s="2">
        <v>10</v>
      </c>
    </row>
    <row r="21" spans="1:15" ht="23.25" x14ac:dyDescent="0.35">
      <c r="A21" s="16" t="s">
        <v>168</v>
      </c>
    </row>
    <row r="22" spans="1:15" ht="15" x14ac:dyDescent="0.25">
      <c r="A22" s="12" t="s">
        <v>100</v>
      </c>
      <c r="B22" s="15" t="s">
        <v>101</v>
      </c>
      <c r="C22" s="14" t="s">
        <v>102</v>
      </c>
    </row>
    <row r="23" spans="1:15" ht="15" x14ac:dyDescent="0.25">
      <c r="A23" s="7">
        <v>10100</v>
      </c>
      <c r="B23" s="10">
        <v>10102</v>
      </c>
      <c r="C23" s="49">
        <f>INDEX($B$9:$B$18,3)</f>
        <v>95</v>
      </c>
    </row>
    <row r="24" spans="1:15" ht="15" x14ac:dyDescent="0.25">
      <c r="A24" s="7">
        <v>10100</v>
      </c>
      <c r="B24" s="10">
        <v>10104</v>
      </c>
      <c r="C24" s="49">
        <f>INDEX($B$9:B18,4)</f>
        <v>-1</v>
      </c>
    </row>
    <row r="25" spans="1:15" ht="15" x14ac:dyDescent="0.25">
      <c r="A25" s="7">
        <v>10108</v>
      </c>
      <c r="B25" s="10">
        <v>10102</v>
      </c>
      <c r="C25" s="49">
        <f>INDEX(F9:F18,3)</f>
        <v>160</v>
      </c>
    </row>
    <row r="26" spans="1:15" ht="15" x14ac:dyDescent="0.25">
      <c r="A26" s="7">
        <v>10100</v>
      </c>
      <c r="B26" s="10">
        <v>10106</v>
      </c>
      <c r="C26" s="49">
        <f>INDEX(B9:B18,5)</f>
        <v>185</v>
      </c>
    </row>
    <row r="27" spans="1:15" ht="15" x14ac:dyDescent="0.25">
      <c r="A27" s="7">
        <v>10108</v>
      </c>
      <c r="B27" s="10">
        <v>10110</v>
      </c>
      <c r="C27" s="49">
        <f>INDEX(F9:F18,7)</f>
        <v>50</v>
      </c>
    </row>
    <row r="28" spans="1:15" ht="15" x14ac:dyDescent="0.25">
      <c r="A28" s="7">
        <v>10102</v>
      </c>
      <c r="B28" s="10">
        <v>10104</v>
      </c>
      <c r="C28" s="49">
        <f t="shared" ref="C25:C35" si="0">INDEX(C14:C23,2)</f>
        <v>210</v>
      </c>
    </row>
    <row r="29" spans="1:15" ht="15" x14ac:dyDescent="0.25">
      <c r="A29" s="7">
        <v>10106</v>
      </c>
      <c r="B29" s="10">
        <v>10108</v>
      </c>
      <c r="C29" s="49">
        <f>INDEX(E9:E18,6)</f>
        <v>70</v>
      </c>
    </row>
    <row r="30" spans="1:15" ht="15" x14ac:dyDescent="0.25">
      <c r="A30" s="7">
        <v>10102</v>
      </c>
      <c r="B30" s="10">
        <v>10106</v>
      </c>
      <c r="C30" s="49">
        <f>INDEX(B9:B18,5)</f>
        <v>185</v>
      </c>
    </row>
    <row r="31" spans="1:15" ht="15" x14ac:dyDescent="0.25">
      <c r="A31" s="7">
        <v>10110</v>
      </c>
      <c r="B31" s="10">
        <v>10114</v>
      </c>
      <c r="C31" s="49">
        <f>INDEX(G9:G18,7)</f>
        <v>-1</v>
      </c>
    </row>
    <row r="32" spans="1:15" ht="15" x14ac:dyDescent="0.25">
      <c r="A32" s="7">
        <v>10104</v>
      </c>
      <c r="B32" s="10">
        <v>10106</v>
      </c>
      <c r="C32" s="49">
        <f>INDEX(D10:D18,8)</f>
        <v>355</v>
      </c>
    </row>
    <row r="33" spans="1:3" ht="15" x14ac:dyDescent="0.25">
      <c r="A33" s="7">
        <v>10110</v>
      </c>
      <c r="B33" s="10">
        <v>10112</v>
      </c>
      <c r="C33" s="49">
        <f>INDEX(G10:G19,8)</f>
        <v>180</v>
      </c>
    </row>
    <row r="34" spans="1:3" ht="15" x14ac:dyDescent="0.25">
      <c r="A34" s="7">
        <v>10100</v>
      </c>
      <c r="B34" s="10">
        <v>10114</v>
      </c>
      <c r="C34" s="49">
        <f>INDEX(B9:B18,9)</f>
        <v>480</v>
      </c>
    </row>
    <row r="35" spans="1:3" ht="15" x14ac:dyDescent="0.25">
      <c r="A35" s="8">
        <v>10112</v>
      </c>
      <c r="B35" s="11">
        <v>10116</v>
      </c>
      <c r="C35" s="49">
        <f>INDEX(H9:H18,10)</f>
        <v>105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J1:N43"/>
  <sheetViews>
    <sheetView topLeftCell="A4" workbookViewId="0">
      <selection activeCell="J1" sqref="J1:N43"/>
    </sheetView>
  </sheetViews>
  <sheetFormatPr defaultRowHeight="12.75" x14ac:dyDescent="0.2"/>
  <cols>
    <col min="10" max="10" width="53.83203125" customWidth="1"/>
  </cols>
  <sheetData>
    <row r="1" spans="10:14" x14ac:dyDescent="0.2">
      <c r="J1">
        <v>20000</v>
      </c>
      <c r="K1" t="s">
        <v>5</v>
      </c>
      <c r="L1">
        <v>0</v>
      </c>
      <c r="M1" t="s">
        <v>6</v>
      </c>
      <c r="N1">
        <v>24</v>
      </c>
    </row>
    <row r="2" spans="10:14" x14ac:dyDescent="0.2">
      <c r="J2">
        <v>20002</v>
      </c>
      <c r="K2" t="s">
        <v>5</v>
      </c>
      <c r="L2">
        <v>0</v>
      </c>
      <c r="M2" t="s">
        <v>6</v>
      </c>
      <c r="N2">
        <v>24</v>
      </c>
    </row>
    <row r="3" spans="10:14" x14ac:dyDescent="0.2">
      <c r="J3">
        <v>20004</v>
      </c>
      <c r="K3" t="s">
        <v>5</v>
      </c>
      <c r="L3">
        <v>0</v>
      </c>
      <c r="M3" t="s">
        <v>6</v>
      </c>
      <c r="N3">
        <v>24</v>
      </c>
    </row>
    <row r="4" spans="10:14" x14ac:dyDescent="0.2">
      <c r="J4">
        <v>20006</v>
      </c>
      <c r="K4" t="s">
        <v>5</v>
      </c>
      <c r="L4">
        <v>0</v>
      </c>
      <c r="M4" t="s">
        <v>6</v>
      </c>
      <c r="N4">
        <v>24</v>
      </c>
    </row>
    <row r="5" spans="10:14" ht="15" x14ac:dyDescent="0.25">
      <c r="J5" s="7">
        <v>20008</v>
      </c>
      <c r="K5" s="41" t="s">
        <v>5</v>
      </c>
      <c r="L5">
        <v>0</v>
      </c>
      <c r="M5" t="s">
        <v>6</v>
      </c>
      <c r="N5">
        <v>24</v>
      </c>
    </row>
    <row r="6" spans="10:14" ht="15" x14ac:dyDescent="0.25">
      <c r="J6" s="7">
        <v>20010</v>
      </c>
      <c r="K6" s="41" t="s">
        <v>5</v>
      </c>
      <c r="L6">
        <v>0</v>
      </c>
      <c r="M6" t="s">
        <v>6</v>
      </c>
      <c r="N6">
        <v>24</v>
      </c>
    </row>
    <row r="7" spans="10:14" ht="15" x14ac:dyDescent="0.25">
      <c r="J7" s="7">
        <v>20012</v>
      </c>
      <c r="K7" s="41" t="s">
        <v>5</v>
      </c>
      <c r="L7">
        <v>0</v>
      </c>
      <c r="M7" t="s">
        <v>6</v>
      </c>
      <c r="N7">
        <v>24</v>
      </c>
    </row>
    <row r="8" spans="10:14" ht="15" x14ac:dyDescent="0.25">
      <c r="J8" s="7">
        <v>20014</v>
      </c>
      <c r="K8" s="41" t="s">
        <v>5</v>
      </c>
      <c r="L8">
        <v>0</v>
      </c>
      <c r="M8" t="s">
        <v>6</v>
      </c>
      <c r="N8">
        <v>24</v>
      </c>
    </row>
    <row r="9" spans="10:14" ht="15" x14ac:dyDescent="0.25">
      <c r="J9" s="7">
        <v>20016</v>
      </c>
      <c r="K9" s="41" t="s">
        <v>5</v>
      </c>
      <c r="L9">
        <v>0</v>
      </c>
      <c r="M9" t="s">
        <v>6</v>
      </c>
      <c r="N9">
        <v>24</v>
      </c>
    </row>
    <row r="10" spans="10:14" ht="15" x14ac:dyDescent="0.25">
      <c r="J10" s="7">
        <v>20018</v>
      </c>
      <c r="K10" s="41" t="s">
        <v>5</v>
      </c>
      <c r="L10">
        <v>0</v>
      </c>
      <c r="M10" t="s">
        <v>6</v>
      </c>
      <c r="N10">
        <v>24</v>
      </c>
    </row>
    <row r="11" spans="10:14" ht="15" x14ac:dyDescent="0.25">
      <c r="J11" s="7">
        <v>20020</v>
      </c>
      <c r="K11" s="41" t="s">
        <v>5</v>
      </c>
      <c r="L11">
        <v>0</v>
      </c>
      <c r="M11" t="s">
        <v>6</v>
      </c>
      <c r="N11">
        <v>24</v>
      </c>
    </row>
    <row r="12" spans="10:14" ht="15" x14ac:dyDescent="0.25">
      <c r="J12" s="7">
        <v>20022</v>
      </c>
      <c r="K12" s="41" t="s">
        <v>5</v>
      </c>
      <c r="L12">
        <v>0</v>
      </c>
      <c r="M12" t="s">
        <v>6</v>
      </c>
      <c r="N12">
        <v>24</v>
      </c>
    </row>
    <row r="13" spans="10:14" ht="15" x14ac:dyDescent="0.25">
      <c r="J13" s="7">
        <v>20024</v>
      </c>
      <c r="K13" s="41" t="s">
        <v>5</v>
      </c>
      <c r="L13">
        <v>0</v>
      </c>
      <c r="M13" t="s">
        <v>6</v>
      </c>
      <c r="N13">
        <v>24</v>
      </c>
    </row>
    <row r="14" spans="10:14" ht="15" x14ac:dyDescent="0.25">
      <c r="J14" s="7">
        <v>20026</v>
      </c>
      <c r="K14" s="41" t="s">
        <v>5</v>
      </c>
      <c r="L14">
        <v>0</v>
      </c>
      <c r="M14" t="s">
        <v>6</v>
      </c>
      <c r="N14">
        <v>24</v>
      </c>
    </row>
    <row r="15" spans="10:14" ht="15" x14ac:dyDescent="0.25">
      <c r="J15" s="7">
        <v>20028</v>
      </c>
      <c r="K15" s="41" t="s">
        <v>5</v>
      </c>
      <c r="L15">
        <v>0</v>
      </c>
      <c r="M15" t="s">
        <v>6</v>
      </c>
      <c r="N15">
        <v>24</v>
      </c>
    </row>
    <row r="16" spans="10:14" ht="15" x14ac:dyDescent="0.25">
      <c r="J16" s="7">
        <v>20030</v>
      </c>
      <c r="K16" s="41" t="s">
        <v>5</v>
      </c>
      <c r="L16">
        <v>0</v>
      </c>
      <c r="M16" t="s">
        <v>6</v>
      </c>
      <c r="N16">
        <v>24</v>
      </c>
    </row>
    <row r="17" spans="10:14" ht="15" x14ac:dyDescent="0.25">
      <c r="J17" s="7">
        <v>20032</v>
      </c>
      <c r="K17" s="41" t="s">
        <v>5</v>
      </c>
      <c r="L17">
        <v>0</v>
      </c>
      <c r="M17" t="s">
        <v>6</v>
      </c>
      <c r="N17">
        <v>24</v>
      </c>
    </row>
    <row r="18" spans="10:14" ht="15" x14ac:dyDescent="0.25">
      <c r="J18" s="7">
        <v>20034</v>
      </c>
      <c r="K18" s="41" t="s">
        <v>5</v>
      </c>
      <c r="L18">
        <v>0</v>
      </c>
      <c r="M18" t="s">
        <v>6</v>
      </c>
      <c r="N18">
        <v>24</v>
      </c>
    </row>
    <row r="19" spans="10:14" ht="15" x14ac:dyDescent="0.25">
      <c r="J19" s="7">
        <v>20036</v>
      </c>
      <c r="K19" s="41" t="s">
        <v>5</v>
      </c>
      <c r="L19">
        <v>0</v>
      </c>
      <c r="M19" t="s">
        <v>6</v>
      </c>
      <c r="N19">
        <v>24</v>
      </c>
    </row>
    <row r="20" spans="10:14" ht="15" x14ac:dyDescent="0.25">
      <c r="J20" s="7">
        <v>20038</v>
      </c>
      <c r="K20" s="41" t="s">
        <v>5</v>
      </c>
      <c r="L20">
        <v>0</v>
      </c>
      <c r="M20" t="s">
        <v>6</v>
      </c>
      <c r="N20">
        <v>24</v>
      </c>
    </row>
    <row r="21" spans="10:14" ht="15" x14ac:dyDescent="0.25">
      <c r="J21" s="7">
        <v>20040</v>
      </c>
      <c r="K21" s="41" t="s">
        <v>5</v>
      </c>
      <c r="L21">
        <v>0</v>
      </c>
      <c r="M21" t="s">
        <v>6</v>
      </c>
      <c r="N21">
        <v>24</v>
      </c>
    </row>
    <row r="22" spans="10:14" ht="15" x14ac:dyDescent="0.25">
      <c r="J22" s="7">
        <v>20042</v>
      </c>
      <c r="K22" s="41" t="s">
        <v>5</v>
      </c>
      <c r="L22">
        <v>0</v>
      </c>
      <c r="M22" t="s">
        <v>6</v>
      </c>
      <c r="N22">
        <v>24</v>
      </c>
    </row>
    <row r="23" spans="10:14" ht="15" x14ac:dyDescent="0.25">
      <c r="J23" s="7">
        <v>20044</v>
      </c>
      <c r="K23" s="41" t="s">
        <v>5</v>
      </c>
      <c r="L23">
        <v>0</v>
      </c>
      <c r="M23" t="s">
        <v>6</v>
      </c>
      <c r="N23">
        <v>24</v>
      </c>
    </row>
    <row r="24" spans="10:14" ht="15" x14ac:dyDescent="0.25">
      <c r="J24" s="7">
        <v>20046</v>
      </c>
      <c r="K24" s="41" t="s">
        <v>5</v>
      </c>
      <c r="L24">
        <v>0</v>
      </c>
      <c r="M24" t="s">
        <v>6</v>
      </c>
      <c r="N24">
        <v>24</v>
      </c>
    </row>
    <row r="25" spans="10:14" ht="15" x14ac:dyDescent="0.25">
      <c r="J25" s="7">
        <v>20048</v>
      </c>
      <c r="K25" s="41" t="s">
        <v>5</v>
      </c>
      <c r="L25">
        <v>0</v>
      </c>
      <c r="M25" t="s">
        <v>6</v>
      </c>
      <c r="N25">
        <v>24</v>
      </c>
    </row>
    <row r="26" spans="10:14" ht="15" x14ac:dyDescent="0.25">
      <c r="J26" s="7">
        <v>20050</v>
      </c>
      <c r="K26" s="41" t="s">
        <v>5</v>
      </c>
      <c r="L26">
        <v>0</v>
      </c>
      <c r="M26" t="s">
        <v>6</v>
      </c>
      <c r="N26">
        <v>24</v>
      </c>
    </row>
    <row r="27" spans="10:14" ht="15" x14ac:dyDescent="0.25">
      <c r="J27" s="7">
        <v>20052</v>
      </c>
      <c r="K27" s="41" t="s">
        <v>5</v>
      </c>
      <c r="L27">
        <v>0</v>
      </c>
      <c r="M27" t="s">
        <v>6</v>
      </c>
      <c r="N27">
        <v>24</v>
      </c>
    </row>
    <row r="28" spans="10:14" ht="15" x14ac:dyDescent="0.25">
      <c r="J28" s="7">
        <v>20054</v>
      </c>
      <c r="K28" s="41" t="s">
        <v>5</v>
      </c>
      <c r="L28">
        <v>0</v>
      </c>
      <c r="M28" t="s">
        <v>6</v>
      </c>
      <c r="N28">
        <v>24</v>
      </c>
    </row>
    <row r="29" spans="10:14" ht="15" x14ac:dyDescent="0.25">
      <c r="J29" s="7">
        <v>20058</v>
      </c>
      <c r="K29" s="41" t="s">
        <v>5</v>
      </c>
      <c r="L29">
        <v>0</v>
      </c>
      <c r="M29" t="s">
        <v>6</v>
      </c>
      <c r="N29">
        <v>24</v>
      </c>
    </row>
    <row r="30" spans="10:14" ht="15" x14ac:dyDescent="0.25">
      <c r="J30" s="7">
        <v>20060</v>
      </c>
      <c r="K30" s="41" t="s">
        <v>5</v>
      </c>
      <c r="L30">
        <v>0</v>
      </c>
      <c r="M30" t="s">
        <v>6</v>
      </c>
      <c r="N30">
        <v>24</v>
      </c>
    </row>
    <row r="31" spans="10:14" ht="15" x14ac:dyDescent="0.25">
      <c r="J31" s="7">
        <v>21000</v>
      </c>
      <c r="K31" s="41" t="s">
        <v>5</v>
      </c>
      <c r="L31">
        <v>0</v>
      </c>
      <c r="M31" t="s">
        <v>6</v>
      </c>
      <c r="N31">
        <v>24</v>
      </c>
    </row>
    <row r="32" spans="10:14" ht="15" x14ac:dyDescent="0.25">
      <c r="J32" s="7">
        <v>21002</v>
      </c>
      <c r="K32" s="41" t="s">
        <v>5</v>
      </c>
      <c r="L32">
        <v>0</v>
      </c>
      <c r="M32" t="s">
        <v>6</v>
      </c>
      <c r="N32">
        <v>24</v>
      </c>
    </row>
    <row r="33" spans="10:14" ht="15" x14ac:dyDescent="0.25">
      <c r="J33" s="7">
        <v>21004</v>
      </c>
      <c r="K33" s="41" t="s">
        <v>5</v>
      </c>
      <c r="L33">
        <v>0</v>
      </c>
      <c r="M33" t="s">
        <v>6</v>
      </c>
      <c r="N33">
        <v>24</v>
      </c>
    </row>
    <row r="34" spans="10:14" ht="15" x14ac:dyDescent="0.25">
      <c r="J34" s="7">
        <v>21006</v>
      </c>
      <c r="K34" s="41" t="s">
        <v>5</v>
      </c>
      <c r="L34">
        <v>0</v>
      </c>
      <c r="M34" t="s">
        <v>6</v>
      </c>
      <c r="N34">
        <v>24</v>
      </c>
    </row>
    <row r="35" spans="10:14" ht="15" x14ac:dyDescent="0.25">
      <c r="J35" s="7">
        <v>21008</v>
      </c>
      <c r="K35" s="41" t="s">
        <v>5</v>
      </c>
      <c r="L35">
        <v>0</v>
      </c>
      <c r="M35" t="s">
        <v>6</v>
      </c>
      <c r="N35">
        <v>24</v>
      </c>
    </row>
    <row r="36" spans="10:14" ht="15" x14ac:dyDescent="0.25">
      <c r="J36" s="7">
        <v>21010</v>
      </c>
      <c r="K36" s="41" t="s">
        <v>5</v>
      </c>
      <c r="L36">
        <v>0</v>
      </c>
      <c r="M36" t="s">
        <v>6</v>
      </c>
      <c r="N36">
        <v>24</v>
      </c>
    </row>
    <row r="37" spans="10:14" ht="15" x14ac:dyDescent="0.25">
      <c r="J37" s="7">
        <v>21012</v>
      </c>
      <c r="K37" s="41" t="s">
        <v>5</v>
      </c>
      <c r="L37">
        <v>0</v>
      </c>
      <c r="M37" t="s">
        <v>6</v>
      </c>
      <c r="N37">
        <v>24</v>
      </c>
    </row>
    <row r="38" spans="10:14" ht="15" x14ac:dyDescent="0.25">
      <c r="J38" s="7">
        <v>21014</v>
      </c>
      <c r="K38" s="41" t="s">
        <v>5</v>
      </c>
      <c r="L38">
        <v>0</v>
      </c>
      <c r="M38" t="s">
        <v>6</v>
      </c>
      <c r="N38">
        <v>24</v>
      </c>
    </row>
    <row r="39" spans="10:14" ht="15" x14ac:dyDescent="0.25">
      <c r="J39" s="7">
        <v>21016</v>
      </c>
      <c r="K39" s="41" t="s">
        <v>5</v>
      </c>
      <c r="L39">
        <v>0</v>
      </c>
      <c r="M39" t="s">
        <v>6</v>
      </c>
      <c r="N39">
        <v>24</v>
      </c>
    </row>
    <row r="40" spans="10:14" ht="15" x14ac:dyDescent="0.25">
      <c r="J40" s="7">
        <v>21010</v>
      </c>
      <c r="K40" s="41" t="s">
        <v>5</v>
      </c>
      <c r="L40">
        <v>0</v>
      </c>
      <c r="M40" t="s">
        <v>6</v>
      </c>
      <c r="N40">
        <v>24</v>
      </c>
    </row>
    <row r="41" spans="10:14" ht="15" x14ac:dyDescent="0.25">
      <c r="J41" s="7">
        <v>21012</v>
      </c>
      <c r="K41" s="41" t="s">
        <v>5</v>
      </c>
      <c r="L41">
        <v>0</v>
      </c>
      <c r="M41" t="s">
        <v>6</v>
      </c>
      <c r="N41">
        <v>24</v>
      </c>
    </row>
    <row r="42" spans="10:14" ht="15" x14ac:dyDescent="0.25">
      <c r="J42" s="7">
        <v>21014</v>
      </c>
      <c r="K42" s="41" t="s">
        <v>5</v>
      </c>
      <c r="L42">
        <v>0</v>
      </c>
      <c r="M42" t="s">
        <v>6</v>
      </c>
      <c r="N42">
        <v>24</v>
      </c>
    </row>
    <row r="43" spans="10:14" ht="15" x14ac:dyDescent="0.25">
      <c r="J43" s="8">
        <v>21016</v>
      </c>
      <c r="K43" s="41" t="s">
        <v>5</v>
      </c>
      <c r="L43">
        <v>0</v>
      </c>
      <c r="M43" t="s">
        <v>6</v>
      </c>
      <c r="N43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2023-12-09T15:25:48Z</dcterms:modified>
</cp:coreProperties>
</file>